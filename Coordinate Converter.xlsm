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gramming\Apps Developed\"/>
    </mc:Choice>
  </mc:AlternateContent>
  <xr:revisionPtr revIDLastSave="0" documentId="13_ncr:1_{4B2DABDC-CA4A-4543-878C-D2A101D898A4}" xr6:coauthVersionLast="47" xr6:coauthVersionMax="47" xr10:uidLastSave="{00000000-0000-0000-0000-000000000000}"/>
  <bookViews>
    <workbookView xWindow="-120" yWindow="-120" windowWidth="20640" windowHeight="11760" xr2:uid="{2923F962-472B-461B-8F33-D5FD64B1A7A9}"/>
  </bookViews>
  <sheets>
    <sheet name="Converter" sheetId="1" r:id="rId1"/>
    <sheet name="Developer" sheetId="7" r:id="rId2"/>
  </sheets>
  <functionGroups builtInGroupCount="19"/>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um_c6a2c677-84e9-4199-b38f-4f2e6b2e2f3c" name="Datum" connection="Query - Datum"/>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2" i="1" l="1"/>
  <c r="A2" i="1"/>
  <c r="F3" i="1"/>
  <c r="E6" i="1"/>
  <c r="F9" i="1"/>
  <c r="F6" i="1"/>
  <c r="B2" i="1"/>
  <c r="F5" i="1"/>
  <c r="E5" i="1"/>
  <c r="F10" i="1"/>
  <c r="E10" i="1"/>
  <c r="E3" i="1"/>
  <c r="F8" i="1"/>
  <c r="E7" i="1"/>
  <c r="F4" i="1"/>
  <c r="F7" i="1"/>
  <c r="E8" i="1"/>
  <c r="E9" i="1"/>
  <c r="E4" i="1"/>
  <c r="F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E45D62-E839-4632-88D8-BEC224116242}" name="Query - Datum" description="Connection to the 'Datum' query in the workbook." type="100" refreshedVersion="7" minRefreshableVersion="5">
    <extLst>
      <ext xmlns:x15="http://schemas.microsoft.com/office/spreadsheetml/2010/11/main" uri="{DE250136-89BD-433C-8126-D09CA5730AF9}">
        <x15:connection id="7dd57df3-56b5-46cf-a7ba-c9e5b58436c5"/>
      </ext>
    </extLst>
  </connection>
  <connection id="2" xr16:uid="{E3D88DF8-8840-4AC7-A408-E5A0BC5DDA69}" keepAlive="1" name="Query - Grid (2)" description="Connection to the 'Grid (2)' query in the workbook." type="5" refreshedVersion="7" background="1" saveData="1">
    <dbPr connection="Provider=Microsoft.Mashup.OleDb.1;Data Source=$Workbook$;Location=&quot;Grid (2)&quot;;Extended Properties=&quot;&quot;" command="SELECT * FROM [Grid (2)]"/>
  </connection>
  <connection id="3" xr16:uid="{43E205E2-9318-4C62-8B56-26BEAA4343DF}"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<sst xmlns="http://schemas.openxmlformats.org/spreadsheetml/2006/main" count="16" uniqueCount="15">
  <si>
    <t>Input Coordinate</t>
  </si>
  <si>
    <t>Coordinate system</t>
  </si>
  <si>
    <t>Output  Coordinate</t>
  </si>
  <si>
    <t>Name</t>
  </si>
  <si>
    <t>Francis Dowuona</t>
  </si>
  <si>
    <t>umbrella487@hotmail.com</t>
  </si>
  <si>
    <t>Email</t>
  </si>
  <si>
    <t>Tel</t>
  </si>
  <si>
    <t>Contact</t>
  </si>
  <si>
    <t>Profession</t>
  </si>
  <si>
    <t>Geomatic Engineer/ GIS Developer</t>
  </si>
  <si>
    <t>1.Template is for converting coordinates for UTM Zone 30N, Metre Grid and WGS84(geographic coordinates). Please do not modify without permission
2. Default input and output unit for projected
coordinates is metres.
3. Geographic coordinate should be in decimal degrees
4. Do not hesitate to contact developer in case of any problem or difficulties or any field procedures that you want to automate.</t>
  </si>
  <si>
    <t>+233548226478</t>
  </si>
  <si>
    <t>UTM 30N</t>
  </si>
  <si>
    <t>Metre Grid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</si>
</sst>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b/>
      <sz val="20"/>
      <color theme="1"/>
      <name val="Calibri"/>
      <family val="2"/>
      <scheme val="minor"/>
    </font>
    <font>
      <sz val="20"/>
      <color theme="1"/>
      <name val="Calibri"/>
      <family val="2"/>
      <scheme val="minor"/>
    </font>
    <font>
      <u/>
      <sz val="20"/>
      <color theme="10"/>
      <name val="Calibri"/>
      <family val="2"/>
      <scheme val="minor"/>
    </font>
    <font>
      <b/>
      <sz val="11"/>
      <color rgb="FFFF0000"/>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0" borderId="0" xfId="0" applyFont="1"/>
    <xf numFmtId="0" fontId="4" fillId="0" borderId="1" xfId="0" applyFont="1" applyBorder="1"/>
    <xf numFmtId="0" fontId="3" fillId="0" borderId="1" xfId="0" applyFont="1" applyBorder="1"/>
    <xf numFmtId="0" fontId="5" fillId="0" borderId="1" xfId="1" applyFont="1" applyBorder="1"/>
    <xf numFmtId="49" fontId="4" fillId="0" borderId="1" xfId="0" applyNumberFormat="1" applyFont="1" applyBorder="1"/>
    <xf numFmtId="0" fontId="1" fillId="0" borderId="0" xfId="0" applyFont="1" applyAlignment="1">
      <alignment horizontal="center"/>
    </xf>
    <xf numFmtId="0" fontId="6" fillId="0" borderId="0" xfId="0" applyFont="1" applyAlignment="1">
      <alignment horizontal="left" vertical="top" wrapText="1"/>
    </xf>
    <xf numFmtId="0" fontId="3" fillId="0" borderId="1" xfId="0" applyFont="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6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1FD108-0874-48CD-A16E-1F85F7757BBE}">
  <we:reference id="wa104382047" version="1.0.1.2" store="en-US" storeType="OMEX"/>
  <we:alternateReferences>
    <we:reference id="wa104382047" version="1.0.1.2" store="WA10438204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umbrella487@hot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3394-A98C-4611-B9D9-C5A38FE91065}">
  <sheetPr codeName="Sheet1"/>
  <dimension ref="A1:M17"/>
  <sheetViews>
    <sheetView tabSelected="1" workbookViewId="0">
      <selection activeCell="G2" sqref="G2"/>
    </sheetView>
  </sheetViews>
  <sheetFormatPr defaultRowHeight="15" x14ac:dyDescent="0.25"/>
  <cols>
    <col min="1" max="1" width="14.42578125" customWidth="1"/>
    <col min="2" max="2" width="15.42578125" customWidth="1"/>
    <col min="3" max="3" width="17.85546875" bestFit="1" customWidth="1"/>
    <col min="4" max="4" width="13" customWidth="1"/>
    <col min="5" max="5" width="13.85546875" customWidth="1"/>
    <col min="6" max="6" width="15.85546875" customWidth="1"/>
    <col min="7" max="7" width="17.85546875" bestFit="1" customWidth="1"/>
  </cols>
  <sheetData>
    <row r="1" spans="1:13" s="1" customFormat="1" ht="15" customHeight="1" x14ac:dyDescent="0.25">
      <c r="A1" s="6" t="s">
        <v>0</v>
      </c>
      <c r="B1" s="6"/>
      <c r="C1" s="1" t="s">
        <v>1</v>
      </c>
      <c r="E1" s="6" t="s">
        <v>2</v>
      </c>
      <c r="F1" s="6"/>
      <c r="G1" s="1" t="s">
        <v>1</v>
      </c>
      <c r="I1" s="7" t="s">
        <v>11</v>
      </c>
      <c r="J1" s="7"/>
      <c r="K1" s="7"/>
      <c r="L1" s="7"/>
      <c r="M1" s="7"/>
    </row>
    <row r="2" spans="1:13" x14ac:dyDescent="0.25">
      <c r="A2" t="str">
        <f>INDEX(coordType($C$2),0,1)</f>
        <v>Easting</v>
      </c>
      <c r="B2" t="str">
        <f>INDEX(coordType($C$2),0,2)</f>
        <v>Northing</v>
      </c>
      <c r="C2" t="s">
        <v>14</v>
      </c>
      <c r="E2" t="str">
        <f>INDEX(coordType($G$2),0,0)</f>
        <v>Easting</v>
      </c>
      <c r="F2" t="str">
        <f>INDEX(coordType($G$2),0,2)</f>
        <v>Northing</v>
      </c>
      <c r="G2" t="s">
        <v>13</v>
      </c>
      <c r="I2" s="7"/>
      <c r="J2" s="7"/>
      <c r="K2" s="7"/>
      <c r="L2" s="7"/>
      <c r="M2" s="7"/>
    </row>
    <row r="3" spans="1:13" x14ac:dyDescent="0.25">
      <c r="A3">
        <v>201069.36</v>
      </c>
      <c r="B3">
        <v>168318.19</v>
      </c>
      <c r="E3">
        <f>ROUND(INDEX(tConv($C$2,$G$2,A3,B3),0,0),IF($G$2&lt;&gt;"WGS84",2,7))</f>
        <v>648074.39</v>
      </c>
      <c r="F3">
        <f t="shared" ref="F3:F10" si="0">ROUND(INDEX(tConv($C$2,$G$2,A3,B3),0,2),IF($G$2&lt;&gt;"WGS84",2,7))</f>
        <v>680020.76</v>
      </c>
      <c r="I3" s="7"/>
      <c r="J3" s="7"/>
      <c r="K3" s="7"/>
      <c r="L3" s="7"/>
      <c r="M3" s="7"/>
    </row>
    <row r="4" spans="1:13" x14ac:dyDescent="0.25">
      <c r="A4">
        <v>200808.27</v>
      </c>
      <c r="B4">
        <v>168445.03</v>
      </c>
      <c r="E4">
        <f t="shared" ref="E4:E10" si="1">ROUND(INDEX(tConv($C$2,$G$2,A4,B4),0,0),IF($G$2&lt;&gt;"WGS84",2,7))</f>
        <v>647812.79</v>
      </c>
      <c r="F4">
        <f t="shared" si="0"/>
        <v>680145.8</v>
      </c>
      <c r="I4" s="7"/>
      <c r="J4" s="7"/>
      <c r="K4" s="7"/>
      <c r="L4" s="7"/>
      <c r="M4" s="7"/>
    </row>
    <row r="5" spans="1:13" x14ac:dyDescent="0.25">
      <c r="A5">
        <v>200632.09</v>
      </c>
      <c r="B5">
        <v>168472.27</v>
      </c>
      <c r="E5">
        <f t="shared" si="1"/>
        <v>647636.49</v>
      </c>
      <c r="F5">
        <f t="shared" si="0"/>
        <v>680172.21</v>
      </c>
      <c r="I5" s="7"/>
      <c r="J5" s="7"/>
      <c r="K5" s="7"/>
      <c r="L5" s="7"/>
      <c r="M5" s="7"/>
    </row>
    <row r="6" spans="1:13" x14ac:dyDescent="0.25">
      <c r="A6">
        <v>200916.94</v>
      </c>
      <c r="B6">
        <v>168278.25</v>
      </c>
      <c r="E6">
        <f t="shared" si="1"/>
        <v>647922.1</v>
      </c>
      <c r="F6">
        <f t="shared" si="0"/>
        <v>679980.51</v>
      </c>
      <c r="I6" s="7"/>
      <c r="J6" s="7"/>
      <c r="K6" s="7"/>
      <c r="L6" s="7"/>
      <c r="M6" s="7"/>
    </row>
    <row r="7" spans="1:13" x14ac:dyDescent="0.25">
      <c r="A7">
        <v>200707.66</v>
      </c>
      <c r="B7">
        <v>168379.93</v>
      </c>
      <c r="E7">
        <f t="shared" si="1"/>
        <v>647712.41</v>
      </c>
      <c r="F7">
        <f t="shared" si="0"/>
        <v>680080.75</v>
      </c>
      <c r="I7" s="7"/>
      <c r="J7" s="7"/>
      <c r="K7" s="7"/>
      <c r="L7" s="7"/>
      <c r="M7" s="7"/>
    </row>
    <row r="8" spans="1:13" x14ac:dyDescent="0.25">
      <c r="A8">
        <v>201119.79</v>
      </c>
      <c r="B8">
        <v>168043.99</v>
      </c>
      <c r="E8">
        <f t="shared" si="1"/>
        <v>648125.85</v>
      </c>
      <c r="F8">
        <f t="shared" si="0"/>
        <v>679748.53</v>
      </c>
      <c r="I8" s="7"/>
      <c r="J8" s="7"/>
      <c r="K8" s="7"/>
      <c r="L8" s="7"/>
      <c r="M8" s="7"/>
    </row>
    <row r="9" spans="1:13" x14ac:dyDescent="0.25">
      <c r="A9">
        <v>200724.72</v>
      </c>
      <c r="B9">
        <v>168248.88</v>
      </c>
      <c r="E9">
        <f t="shared" si="1"/>
        <v>647729.96</v>
      </c>
      <c r="F9">
        <f t="shared" si="0"/>
        <v>679950.62</v>
      </c>
      <c r="I9" s="7"/>
      <c r="J9" s="7"/>
      <c r="K9" s="7"/>
      <c r="L9" s="7"/>
      <c r="M9" s="7"/>
    </row>
    <row r="10" spans="1:13" x14ac:dyDescent="0.25">
      <c r="A10">
        <v>201097.65</v>
      </c>
      <c r="B10">
        <v>168008.08</v>
      </c>
      <c r="E10">
        <f t="shared" si="1"/>
        <v>648103.84</v>
      </c>
      <c r="F10">
        <f t="shared" si="0"/>
        <v>679712.77</v>
      </c>
      <c r="I10" s="7"/>
      <c r="J10" s="7"/>
      <c r="K10" s="7"/>
      <c r="L10" s="7"/>
      <c r="M10" s="7"/>
    </row>
    <row r="11" spans="1:13" x14ac:dyDescent="0.25">
      <c r="I11" s="7"/>
      <c r="J11" s="7"/>
      <c r="K11" s="7"/>
      <c r="L11" s="7"/>
      <c r="M11" s="7"/>
    </row>
    <row r="12" spans="1:13" x14ac:dyDescent="0.25">
      <c r="I12" s="7"/>
      <c r="J12" s="7"/>
      <c r="K12" s="7"/>
      <c r="L12" s="7"/>
      <c r="M12" s="7"/>
    </row>
    <row r="13" spans="1:13" x14ac:dyDescent="0.25">
      <c r="I13" s="7"/>
      <c r="J13" s="7"/>
      <c r="K13" s="7"/>
      <c r="L13" s="7"/>
      <c r="M13" s="7"/>
    </row>
    <row r="14" spans="1:13" x14ac:dyDescent="0.25">
      <c r="I14" s="7"/>
      <c r="J14" s="7"/>
      <c r="K14" s="7"/>
      <c r="L14" s="7"/>
      <c r="M14" s="7"/>
    </row>
    <row r="15" spans="1:13" x14ac:dyDescent="0.25">
      <c r="I15" s="7"/>
      <c r="J15" s="7"/>
      <c r="K15" s="7"/>
      <c r="L15" s="7"/>
      <c r="M15" s="7"/>
    </row>
    <row r="16" spans="1:13" x14ac:dyDescent="0.25">
      <c r="I16" s="7"/>
      <c r="J16" s="7"/>
      <c r="K16" s="7"/>
      <c r="L16" s="7"/>
      <c r="M16" s="7"/>
    </row>
    <row r="17" spans="9:13" x14ac:dyDescent="0.25">
      <c r="I17" s="7"/>
      <c r="J17" s="7"/>
      <c r="K17" s="7"/>
      <c r="L17" s="7"/>
      <c r="M17" s="7"/>
    </row>
  </sheetData>
  <mergeCells count="3">
    <mergeCell ref="A1:B1"/>
    <mergeCell ref="E1:F1"/>
    <mergeCell ref="I1:M17"/>
  </mergeCells>
  <dataValidations count="1">
    <dataValidation type="list" allowBlank="1" showInputMessage="1" showErrorMessage="1" sqref="C2 G2" xr:uid="{09CAA063-B8DA-4655-B41A-483DEF93760D}">
      <formula1>"UTM 30N,Metre Grid,WGS84"</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580C-D117-4FCC-A81C-E64E24F5DAEB}">
  <sheetPr codeName="Sheet3"/>
  <dimension ref="B1:C5"/>
  <sheetViews>
    <sheetView showGridLines="0" workbookViewId="0">
      <selection activeCell="B21" sqref="B21"/>
    </sheetView>
  </sheetViews>
  <sheetFormatPr defaultRowHeight="15" x14ac:dyDescent="0.25"/>
  <cols>
    <col min="2" max="2" width="18.140625" bestFit="1" customWidth="1"/>
    <col min="3" max="3" width="56.7109375" bestFit="1" customWidth="1"/>
  </cols>
  <sheetData>
    <row r="1" spans="2:3" ht="26.25" x14ac:dyDescent="0.4">
      <c r="B1" s="8" t="s">
        <v>8</v>
      </c>
      <c r="C1" s="8"/>
    </row>
    <row r="2" spans="2:3" ht="26.25" x14ac:dyDescent="0.4">
      <c r="B2" s="2" t="s">
        <v>3</v>
      </c>
      <c r="C2" s="3" t="s">
        <v>4</v>
      </c>
    </row>
    <row r="3" spans="2:3" ht="26.25" x14ac:dyDescent="0.4">
      <c r="B3" s="2" t="s">
        <v>9</v>
      </c>
      <c r="C3" s="2" t="s">
        <v>10</v>
      </c>
    </row>
    <row r="4" spans="2:3" ht="26.25" x14ac:dyDescent="0.4">
      <c r="B4" s="2" t="s">
        <v>6</v>
      </c>
      <c r="C4" s="4" t="s">
        <v>5</v>
      </c>
    </row>
    <row r="5" spans="2:3" ht="26.25" x14ac:dyDescent="0.4">
      <c r="B5" s="2" t="s">
        <v>7</v>
      </c>
      <c r="C5" s="5" t="s">
        <v>12</v>
      </c>
    </row>
  </sheetData>
  <sheetProtection algorithmName="SHA-512" hashValue="VzARKSYj04uJFqr88E6b3IkBvb3YzGjJ2Iqr8628p3kK9lwdZruSKYa0/k0Ldl+Usb1CGX2Cq64dodcrai7zAg==" saltValue="KfnysrtBB505Q3BWt8nRYQ==" spinCount="100000" sheet="1" objects="1" scenarios="1" formatCells="0"/>
  <mergeCells count="1">
    <mergeCell ref="B1:C1"/>
  </mergeCells>
  <hyperlinks>
    <hyperlink ref="C4" r:id="rId1" xr:uid="{61455A8C-8A6B-4FF6-8B98-38976DCCBB5A}"/>
  </hyperlinks>
  <pageMargins left="0.7" right="0.7" top="0.75" bottom="0.75" header="0.3" footer="0.3"/>
  <pageSetup orientation="portrait" r:id="rId2"/>
  <ignoredErrors>
    <ignoredError sqref="C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ommonToolsData xmlns="Mapcite">
  <Data>{
    "AppConfig": [{
        "ConfigTitle": "MultiDataAndStyle",
        "ConfigWebTitle": "ConfigTitle",
        "startLatitude": 42.55,
        "startLongitude": -99.2,
        "startZoom": 4,
        "MaxZoom": 16,
        "DataArray": [],
      "UIArray": {
        "menuBarOpen": false,
        "scale": true,
        "zoomIn": true,
        "zoomOut": true,
        "myLocation": false,
        "baseLayers": [
          "osm",
          "toner",
          "toner-lite",
          "labels",
          "open-topo",
          "blank"
        ],
        "mapLayers": true,
        "drawTools": true,
        "dataLayers": true,
        "annotate": true,
        "print": true,
        "searchLocation": true
      }
    }]
}</Data>
</CommonToolsData>
</file>

<file path=customXml/item2.xml>�� 
</file>

<file path=customXml/itemProps1.xml><?xml version="1.0" encoding="utf-8"?>
<ds:datastoreItem xmlns:ds="http://schemas.openxmlformats.org/officeDocument/2006/customXml" ds:itemID="{A5A8ED6B-5A57-4472-BDCD-B63122761D32}">
  <ds:schemaRefs>
    <ds:schemaRef ds:uri="Mapcite"/>
  </ds:schemaRefs>
</ds:datastoreItem>
</file>

<file path=customXml/itemProps2.xml><?xml version="1.0" encoding="utf-8"?>
<ds:datastoreItem xmlns:ds="http://schemas.openxmlformats.org/officeDocument/2006/customXml" ds:itemID="{B78138DD-9860-4FAF-9EAC-C582E2A31D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Converter</vt:lpstr>
      <vt:lpstr>Developer</vt:lpstr>
    </vt:vector>
  </TitlesOfParts>
  <Company>www.umbrella.com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Coordinate Converter</dc:title>
  <dc:subject>Geodesy</dc:subject>
  <dc:creator>Francis Donald Dowuona</dc:creator>
  <cp:lastModifiedBy>Francis Dowuona</cp:lastModifiedBy>
  <dcterms:created xsi:type="dcterms:W3CDTF">2021-05-28T03:18:28Z</dcterms:created>
  <dcterms:modified xsi:type="dcterms:W3CDTF">2022-07-02T20:48:07Z</dcterms:modified>
</cp:coreProperties>
</file>